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CTL\"/>
    </mc:Choice>
  </mc:AlternateContent>
  <bookViews>
    <workbookView xWindow="0" yWindow="0" windowWidth="16392" windowHeight="5448" activeTab="3"/>
  </bookViews>
  <sheets>
    <sheet name="Raw Data" sheetId="1" r:id="rId1"/>
    <sheet name="Calculations" sheetId="2" r:id="rId2"/>
    <sheet name="Summary Dashboard" sheetId="3" r:id="rId3"/>
    <sheet name="Our Bookings" sheetId="4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J16" i="4" l="1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B3" i="2" l="1"/>
  <c r="B4" i="2"/>
  <c r="B2" i="2"/>
  <c r="B5" i="2"/>
  <c r="B1" i="2"/>
  <c r="B2" i="3" l="1"/>
  <c r="B3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<sst xmlns="http://schemas.openxmlformats.org/spreadsheetml/2006/main" count="217" uniqueCount="94">
  <si>
    <t>City</t>
  </si>
  <si>
    <t>Resort</t>
  </si>
  <si>
    <t>Package Name</t>
  </si>
  <si>
    <t>Room Price (CHF)</t>
  </si>
  <si>
    <t>Meals (CHF)</t>
  </si>
  <si>
    <t>Activities (CHF)</t>
  </si>
  <si>
    <t>Events &amp; Trips (CHF)</t>
  </si>
  <si>
    <t>Final Per Day Price (CHF)</t>
  </si>
  <si>
    <t>Availability</t>
  </si>
  <si>
    <t>Zermatt</t>
  </si>
  <si>
    <t>Emerald Valley</t>
  </si>
  <si>
    <t>Zermatt Signature Escape</t>
  </si>
  <si>
    <t>Available</t>
  </si>
  <si>
    <t>Zermatt Ultra Luxury Experience</t>
  </si>
  <si>
    <t>Zermatt Honeymoon Retreat</t>
  </si>
  <si>
    <t>Zermatt Cultural Gala Package</t>
  </si>
  <si>
    <t>Zermatt Heritage Rail Journey</t>
  </si>
  <si>
    <t>Interlaken</t>
  </si>
  <si>
    <t>Crystal Resort</t>
  </si>
  <si>
    <t>Interlaken Signature Escape</t>
  </si>
  <si>
    <t>Interlaken Ultra Luxury Experience</t>
  </si>
  <si>
    <t>Interlaken Honeymoon Retreat</t>
  </si>
  <si>
    <t>Interlaken Cultural Gala Package</t>
  </si>
  <si>
    <t>Interlaken Heritage Rail Journey</t>
  </si>
  <si>
    <t>St. Moritz</t>
  </si>
  <si>
    <t>Alpine Crest</t>
  </si>
  <si>
    <t>St. Moritz Signature Escape</t>
  </si>
  <si>
    <t>St. Moritz Ultra Luxury Experience</t>
  </si>
  <si>
    <t>St. Moritz Honeymoon Retreat</t>
  </si>
  <si>
    <t>St. Moritz Cultural Gala Package</t>
  </si>
  <si>
    <t>St. Moritz Heritage Rail Journey</t>
  </si>
  <si>
    <t>Lucerne</t>
  </si>
  <si>
    <t>Silver Crest</t>
  </si>
  <si>
    <t>Lucerne Signature Escape</t>
  </si>
  <si>
    <t>Lucerne Ultra Luxury Experience</t>
  </si>
  <si>
    <t>Lucerne Honeymoon Retreat</t>
  </si>
  <si>
    <t>Lucerne Cultural Gala Package</t>
  </si>
  <si>
    <t>Lucerne Heritage Rail Journey</t>
  </si>
  <si>
    <t>Grindelwald</t>
  </si>
  <si>
    <t>Mountain Pearl</t>
  </si>
  <si>
    <t>Grindelwald Signature Escape</t>
  </si>
  <si>
    <t>Grindelwald Ultra Luxury Experience</t>
  </si>
  <si>
    <t>Grindelwald Honeymoon Retreat</t>
  </si>
  <si>
    <t>Grindelwald Cultural Gala Package</t>
  </si>
  <si>
    <t>Grindelwald Heritage Rail Journey</t>
  </si>
  <si>
    <t>Total Packages</t>
  </si>
  <si>
    <t>Average Per Day Price</t>
  </si>
  <si>
    <t>Total Revenue Potential</t>
  </si>
  <si>
    <t>Packages Over CHF 2500</t>
  </si>
  <si>
    <t>Package</t>
  </si>
  <si>
    <t>Price</t>
  </si>
  <si>
    <t>Packages Under CHF 2500</t>
  </si>
  <si>
    <t>Limited</t>
  </si>
  <si>
    <t>Fully Booked</t>
  </si>
  <si>
    <t>Booking ID</t>
  </si>
  <si>
    <t>Customer Name</t>
  </si>
  <si>
    <t>Check-in Date</t>
  </si>
  <si>
    <t>Check-out Date</t>
  </si>
  <si>
    <t>Nights</t>
  </si>
  <si>
    <t>Guests</t>
  </si>
  <si>
    <t>Total Amount (CHF)</t>
  </si>
  <si>
    <t>Booking Status</t>
  </si>
  <si>
    <t>BK-1001</t>
  </si>
  <si>
    <t>Completed</t>
  </si>
  <si>
    <t>BK-1002</t>
  </si>
  <si>
    <t>Confirmed</t>
  </si>
  <si>
    <t>BK-1003</t>
  </si>
  <si>
    <t>BK-1004</t>
  </si>
  <si>
    <t>Noah Keller</t>
  </si>
  <si>
    <t>BK-1005</t>
  </si>
  <si>
    <t>BK-1006</t>
  </si>
  <si>
    <t>BK-1007</t>
  </si>
  <si>
    <t>BK-1008</t>
  </si>
  <si>
    <t>BK-1009</t>
  </si>
  <si>
    <t>BK-1010</t>
  </si>
  <si>
    <t>BK-1011</t>
  </si>
  <si>
    <t>BK-1012</t>
  </si>
  <si>
    <t>BK-1013</t>
  </si>
  <si>
    <t>BK-1014</t>
  </si>
  <si>
    <t>BK-1015</t>
  </si>
  <si>
    <t>Tom Hopper</t>
  </si>
  <si>
    <t>Iman khan</t>
  </si>
  <si>
    <t>Haider Baloch</t>
  </si>
  <si>
    <t>Saad Ali</t>
  </si>
  <si>
    <t>Sophie Karen</t>
  </si>
  <si>
    <t>Lina Buaman</t>
  </si>
  <si>
    <t>Emma Rossey</t>
  </si>
  <si>
    <t xml:space="preserve">Joseph Kerry </t>
  </si>
  <si>
    <t>Juliet</t>
  </si>
  <si>
    <t>Steve Harrington</t>
  </si>
  <si>
    <t>William Byers</t>
  </si>
  <si>
    <t>Lucas Sinclair</t>
  </si>
  <si>
    <t>Alexi</t>
  </si>
  <si>
    <t>Hannan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</si>
</sst>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E4C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Table Style 1" pivot="0" count="0"/>
  </tableStyles>
  <colors>
    <mruColors>
      <color rgb="FF414141"/>
      <color rgb="FFFFE4C1"/>
      <color rgb="FFC86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dk1">
                      <a:tint val="88500"/>
                      <a:shade val="51000"/>
                      <a:satMod val="130000"/>
                    </a:schemeClr>
                  </a:gs>
                  <a:gs pos="80000">
                    <a:schemeClr val="dk1">
                      <a:tint val="88500"/>
                      <a:shade val="93000"/>
                      <a:satMod val="130000"/>
                    </a:schemeClr>
                  </a:gs>
                  <a:gs pos="100000">
                    <a:schemeClr val="dk1">
                      <a:tint val="885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1369-4A39-8CDE-1FE786E371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dk1">
                      <a:tint val="55000"/>
                      <a:shade val="51000"/>
                      <a:satMod val="130000"/>
                    </a:schemeClr>
                  </a:gs>
                  <a:gs pos="80000">
                    <a:schemeClr val="dk1">
                      <a:tint val="55000"/>
                      <a:shade val="93000"/>
                      <a:satMod val="130000"/>
                    </a:schemeClr>
                  </a:gs>
                  <a:gs pos="100000">
                    <a:schemeClr val="dk1">
                      <a:tint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1369-4A39-8CDE-1FE786E371C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dk1">
                      <a:tint val="75000"/>
                      <a:shade val="51000"/>
                      <a:satMod val="130000"/>
                    </a:schemeClr>
                  </a:gs>
                  <a:gs pos="80000">
                    <a:schemeClr val="dk1">
                      <a:tint val="75000"/>
                      <a:shade val="93000"/>
                      <a:satMod val="130000"/>
                    </a:schemeClr>
                  </a:gs>
                  <a:gs pos="100000">
                    <a:schemeClr val="dk1">
                      <a:tint val="7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1369-4A39-8CDE-1FE786E371C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dk1">
                      <a:tint val="98500"/>
                      <a:shade val="51000"/>
                      <a:satMod val="130000"/>
                    </a:schemeClr>
                  </a:gs>
                  <a:gs pos="80000">
                    <a:schemeClr val="dk1">
                      <a:tint val="98500"/>
                      <a:shade val="93000"/>
                      <a:satMod val="130000"/>
                    </a:schemeClr>
                  </a:gs>
                  <a:gs pos="100000">
                    <a:schemeClr val="dk1">
                      <a:tint val="985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369-4A39-8CDE-1FE786E371C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dk1">
                      <a:tint val="30000"/>
                      <a:shade val="51000"/>
                      <a:satMod val="130000"/>
                    </a:schemeClr>
                  </a:gs>
                  <a:gs pos="80000">
                    <a:schemeClr val="dk1">
                      <a:tint val="30000"/>
                      <a:shade val="93000"/>
                      <a:satMod val="130000"/>
                    </a:schemeClr>
                  </a:gs>
                  <a:gs pos="100000">
                    <a:schemeClr val="dk1">
                      <a:tint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369-4A39-8CDE-1FE786E371CD}"/>
              </c:ext>
            </c:extLst>
          </c:dPt>
          <c:dLbls>
            <c:dLbl>
              <c:idx val="0"/>
              <c:layout>
                <c:manualLayout>
                  <c:x val="1.1222659667541558E-3"/>
                  <c:y val="-2.29159375911344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369-4A39-8CDE-1FE786E371CD}"/>
                </c:ext>
              </c:extLst>
            </c:dLbl>
            <c:dLbl>
              <c:idx val="1"/>
              <c:layout>
                <c:manualLayout>
                  <c:x val="-0.11033420822397205"/>
                  <c:y val="7.513123359580052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369-4A39-8CDE-1FE786E371CD}"/>
                </c:ext>
              </c:extLst>
            </c:dLbl>
            <c:dLbl>
              <c:idx val="3"/>
              <c:layout>
                <c:manualLayout>
                  <c:x val="6.6343175853018369E-2"/>
                  <c:y val="2.3221055701370662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369-4A39-8CDE-1FE786E371CD}"/>
                </c:ext>
              </c:extLst>
            </c:dLbl>
            <c:dLbl>
              <c:idx val="4"/>
              <c:layout>
                <c:manualLayout>
                  <c:x val="0.10010498687664042"/>
                  <c:y val="3.263961796442113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369-4A39-8CDE-1FE786E371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Calculations!$A$1:$A$5</c:f>
              <c:strCache>
                <c:ptCount val="5"/>
                <c:pt idx="0">
                  <c:v>Total Packages</c:v>
                </c:pt>
                <c:pt idx="1">
                  <c:v>Average Per Day Price</c:v>
                </c:pt>
                <c:pt idx="2">
                  <c:v>Total Revenue Potential</c:v>
                </c:pt>
                <c:pt idx="3">
                  <c:v>Packages Over CHF 2500</c:v>
                </c:pt>
                <c:pt idx="4">
                  <c:v>Packages Under CHF 2500</c:v>
                </c:pt>
              </c:strCache>
            </c:strRef>
          </c:cat>
          <c:val>
            <c:numRef>
              <c:f>Calculations!$B$1:$B$5</c:f>
              <c:numCache>
                <c:formatCode>General</c:formatCode>
                <c:ptCount val="5"/>
                <c:pt idx="0">
                  <c:v>25</c:v>
                </c:pt>
                <c:pt idx="1">
                  <c:v>2530</c:v>
                </c:pt>
                <c:pt idx="2">
                  <c:v>63250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9-4A39-8CDE-1FE786E371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41414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Day Package Prices (CHF)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765185185185181E-2"/>
          <c:y val="0.54794119951423981"/>
          <c:w val="0.89630888888888893"/>
          <c:h val="0.3339355555555555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Dashboard'!$B$1</c:f>
              <c:strCache>
                <c:ptCount val="1"/>
                <c:pt idx="0">
                  <c:v>Price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846D-47F7-97D2-E041B76438DE}"/>
              </c:ext>
            </c:extLst>
          </c:dPt>
          <c:dPt>
            <c:idx val="1"/>
            <c:invertIfNegative val="1"/>
            <c:bubble3D val="0"/>
            <c:spPr>
              <a:noFill/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846D-47F7-97D2-E041B76438DE}"/>
              </c:ext>
            </c:extLst>
          </c:dPt>
          <c:dPt>
            <c:idx val="2"/>
            <c:invertIfNegative val="1"/>
            <c:bubble3D val="0"/>
            <c:spPr>
              <a:noFill/>
              <a:ln w="9525" cap="flat" cmpd="sng" algn="ctr">
                <a:solidFill>
                  <a:schemeClr val="accent3"/>
                </a:solidFill>
                <a:miter lim="800000"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846D-47F7-97D2-E041B76438DE}"/>
              </c:ext>
            </c:extLst>
          </c:dPt>
          <c:dPt>
            <c:idx val="3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846D-47F7-97D2-E041B76438DE}"/>
              </c:ext>
            </c:extLst>
          </c:dPt>
          <c:dPt>
            <c:idx val="4"/>
            <c:invertIfNegative val="1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846D-47F7-97D2-E041B76438DE}"/>
              </c:ext>
            </c:extLst>
          </c:dPt>
          <c:dPt>
            <c:idx val="5"/>
            <c:invertIfNegative val="1"/>
            <c:bubble3D val="0"/>
            <c:spPr>
              <a:noFill/>
              <a:ln w="9525" cap="flat" cmpd="sng" algn="ctr">
                <a:solidFill>
                  <a:schemeClr val="accent6"/>
                </a:solidFill>
                <a:miter lim="800000"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846D-47F7-97D2-E041B76438DE}"/>
              </c:ext>
            </c:extLst>
          </c:dPt>
          <c:dPt>
            <c:idx val="6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846D-47F7-97D2-E041B76438DE}"/>
              </c:ext>
            </c:extLst>
          </c:dPt>
          <c:dPt>
            <c:idx val="7"/>
            <c:invertIfNegative val="1"/>
            <c:bubble3D val="0"/>
            <c:spPr>
              <a:noFill/>
              <a:ln w="9525" cap="flat" cmpd="sng" algn="ctr">
                <a:solidFill>
                  <a:schemeClr val="accent2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846D-47F7-97D2-E041B76438DE}"/>
              </c:ext>
            </c:extLst>
          </c:dPt>
          <c:dPt>
            <c:idx val="8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846D-47F7-97D2-E041B76438DE}"/>
              </c:ext>
            </c:extLst>
          </c:dPt>
          <c:dPt>
            <c:idx val="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846D-47F7-97D2-E041B76438DE}"/>
              </c:ext>
            </c:extLst>
          </c:dPt>
          <c:dPt>
            <c:idx val="10"/>
            <c:invertIfNegative val="1"/>
            <c:bubble3D val="0"/>
            <c:spPr>
              <a:noFill/>
              <a:ln w="9525" cap="flat" cmpd="sng" algn="ctr">
                <a:solidFill>
                  <a:schemeClr val="accent5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5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846D-47F7-97D2-E041B76438DE}"/>
              </c:ext>
            </c:extLst>
          </c:dPt>
          <c:dPt>
            <c:idx val="11"/>
            <c:invertIfNegative val="1"/>
            <c:bubble3D val="0"/>
            <c:spPr>
              <a:noFill/>
              <a:ln w="9525" cap="flat" cmpd="sng" algn="ctr">
                <a:solidFill>
                  <a:schemeClr val="accent6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6">
                    <a:lumMod val="6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846D-47F7-97D2-E041B76438DE}"/>
              </c:ext>
            </c:extLst>
          </c:dPt>
          <c:dPt>
            <c:idx val="12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9-846D-47F7-97D2-E041B76438DE}"/>
              </c:ext>
            </c:extLst>
          </c:dPt>
          <c:dPt>
            <c:idx val="13"/>
            <c:invertIfNegative val="1"/>
            <c:bubble3D val="0"/>
            <c:spPr>
              <a:noFill/>
              <a:ln w="9525" cap="flat" cmpd="sng" algn="ctr">
                <a:solidFill>
                  <a:schemeClr val="accent2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2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B-846D-47F7-97D2-E041B76438DE}"/>
              </c:ext>
            </c:extLst>
          </c:dPt>
          <c:dPt>
            <c:idx val="14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3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D-846D-47F7-97D2-E041B76438DE}"/>
              </c:ext>
            </c:extLst>
          </c:dPt>
          <c:dPt>
            <c:idx val="15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4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F-846D-47F7-97D2-E041B76438DE}"/>
              </c:ext>
            </c:extLst>
          </c:dPt>
          <c:dPt>
            <c:idx val="16"/>
            <c:invertIfNegative val="1"/>
            <c:bubble3D val="0"/>
            <c:spPr>
              <a:noFill/>
              <a:ln w="9525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5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1-846D-47F7-97D2-E041B76438DE}"/>
              </c:ext>
            </c:extLst>
          </c:dPt>
          <c:dPt>
            <c:idx val="17"/>
            <c:invertIfNegative val="1"/>
            <c:bubble3D val="0"/>
            <c:spPr>
              <a:noFill/>
              <a:ln w="9525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miter lim="800000"/>
              </a:ln>
              <a:effectLst>
                <a:glow rad="63500">
                  <a:schemeClr val="accent6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3-846D-47F7-97D2-E041B76438DE}"/>
              </c:ext>
            </c:extLst>
          </c:dPt>
          <c:dPt>
            <c:idx val="18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8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5-846D-47F7-97D2-E041B76438DE}"/>
              </c:ext>
            </c:extLst>
          </c:dPt>
          <c:dPt>
            <c:idx val="19"/>
            <c:invertIfNegative val="1"/>
            <c:bubble3D val="0"/>
            <c:spPr>
              <a:noFill/>
              <a:ln w="9525" cap="flat" cmpd="sng" algn="ctr">
                <a:solidFill>
                  <a:schemeClr val="accent2">
                    <a:lumMod val="80000"/>
                  </a:schemeClr>
                </a:solidFill>
                <a:miter lim="800000"/>
              </a:ln>
              <a:effectLst>
                <a:glow rad="63500">
                  <a:schemeClr val="accent2">
                    <a:lumMod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7-846D-47F7-97D2-E041B76438DE}"/>
              </c:ext>
            </c:extLst>
          </c:dPt>
          <c:dPt>
            <c:idx val="20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lumMod val="80000"/>
                  </a:schemeClr>
                </a:solidFill>
                <a:miter lim="800000"/>
              </a:ln>
              <a:effectLst>
                <a:glow rad="63500">
                  <a:schemeClr val="accent3">
                    <a:lumMod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9-846D-47F7-97D2-E041B76438DE}"/>
              </c:ext>
            </c:extLst>
          </c:dPt>
          <c:dPt>
            <c:idx val="21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lumMod val="80000"/>
                  </a:schemeClr>
                </a:solidFill>
                <a:miter lim="800000"/>
              </a:ln>
              <a:effectLst>
                <a:glow rad="63500">
                  <a:schemeClr val="accent4">
                    <a:lumMod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B-846D-47F7-97D2-E041B76438DE}"/>
              </c:ext>
            </c:extLst>
          </c:dPt>
          <c:dPt>
            <c:idx val="22"/>
            <c:invertIfNegative val="1"/>
            <c:bubble3D val="0"/>
            <c:spPr>
              <a:noFill/>
              <a:ln w="9525" cap="flat" cmpd="sng" algn="ctr">
                <a:solidFill>
                  <a:schemeClr val="accent5">
                    <a:lumMod val="80000"/>
                  </a:schemeClr>
                </a:solidFill>
                <a:miter lim="800000"/>
              </a:ln>
              <a:effectLst>
                <a:glow rad="63500">
                  <a:schemeClr val="accent5">
                    <a:lumMod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D-846D-47F7-97D2-E041B76438DE}"/>
              </c:ext>
            </c:extLst>
          </c:dPt>
          <c:dPt>
            <c:idx val="23"/>
            <c:invertIfNegative val="1"/>
            <c:bubble3D val="0"/>
            <c:spPr>
              <a:noFill/>
              <a:ln w="9525" cap="flat" cmpd="sng" algn="ctr">
                <a:solidFill>
                  <a:schemeClr val="accent6">
                    <a:lumMod val="80000"/>
                  </a:schemeClr>
                </a:solidFill>
                <a:miter lim="800000"/>
              </a:ln>
              <a:effectLst>
                <a:glow rad="63500">
                  <a:schemeClr val="accent6">
                    <a:lumMod val="8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F-846D-47F7-97D2-E041B76438DE}"/>
              </c:ext>
            </c:extLst>
          </c:dPt>
          <c:dPt>
            <c:idx val="24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1-846D-47F7-97D2-E041B76438DE}"/>
              </c:ext>
            </c:extLst>
          </c:dPt>
          <c:cat>
            <c:strRef>
              <c:f>'Summary Dashboard'!$A$2:$A$26</c:f>
              <c:strCache>
                <c:ptCount val="25"/>
                <c:pt idx="0">
                  <c:v>Zermatt Signature Escape</c:v>
                </c:pt>
                <c:pt idx="1">
                  <c:v>Zermatt Ultra Luxury Experience</c:v>
                </c:pt>
                <c:pt idx="2">
                  <c:v>Zermatt Honeymoon Retreat</c:v>
                </c:pt>
                <c:pt idx="3">
                  <c:v>Zermatt Cultural Gala Package</c:v>
                </c:pt>
                <c:pt idx="4">
                  <c:v>Zermatt Heritage Rail Journey</c:v>
                </c:pt>
                <c:pt idx="5">
                  <c:v>Interlaken Signature Escape</c:v>
                </c:pt>
                <c:pt idx="6">
                  <c:v>Interlaken Ultra Luxury Experience</c:v>
                </c:pt>
                <c:pt idx="7">
                  <c:v>Interlaken Honeymoon Retreat</c:v>
                </c:pt>
                <c:pt idx="8">
                  <c:v>Interlaken Cultural Gala Package</c:v>
                </c:pt>
                <c:pt idx="9">
                  <c:v>Interlaken Heritage Rail Journey</c:v>
                </c:pt>
                <c:pt idx="10">
                  <c:v>St. Moritz Signature Escape</c:v>
                </c:pt>
                <c:pt idx="11">
                  <c:v>St. Moritz Ultra Luxury Experience</c:v>
                </c:pt>
                <c:pt idx="12">
                  <c:v>St. Moritz Honeymoon Retreat</c:v>
                </c:pt>
                <c:pt idx="13">
                  <c:v>St. Moritz Cultural Gala Package</c:v>
                </c:pt>
                <c:pt idx="14">
                  <c:v>St. Moritz Heritage Rail Journey</c:v>
                </c:pt>
                <c:pt idx="15">
                  <c:v>Lucerne Signature Escape</c:v>
                </c:pt>
                <c:pt idx="16">
                  <c:v>Lucerne Ultra Luxury Experience</c:v>
                </c:pt>
                <c:pt idx="17">
                  <c:v>Lucerne Honeymoon Retreat</c:v>
                </c:pt>
                <c:pt idx="18">
                  <c:v>Lucerne Cultural Gala Package</c:v>
                </c:pt>
                <c:pt idx="19">
                  <c:v>Lucerne Heritage Rail Journey</c:v>
                </c:pt>
                <c:pt idx="20">
                  <c:v>Grindelwald Signature Escape</c:v>
                </c:pt>
                <c:pt idx="21">
                  <c:v>Grindelwald Ultra Luxury Experience</c:v>
                </c:pt>
                <c:pt idx="22">
                  <c:v>Grindelwald Honeymoon Retreat</c:v>
                </c:pt>
                <c:pt idx="23">
                  <c:v>Grindelwald Cultural Gala Package</c:v>
                </c:pt>
                <c:pt idx="24">
                  <c:v>Grindelwald Heritage Rail Journey</c:v>
                </c:pt>
              </c:strCache>
            </c:strRef>
          </c:cat>
          <c:val>
            <c:numRef>
              <c:f>'Summary Dashboard'!$B$2:$B$26</c:f>
              <c:numCache>
                <c:formatCode>General</c:formatCode>
                <c:ptCount val="25"/>
                <c:pt idx="0">
                  <c:v>1650</c:v>
                </c:pt>
                <c:pt idx="1">
                  <c:v>3100</c:v>
                </c:pt>
                <c:pt idx="2">
                  <c:v>2450</c:v>
                </c:pt>
                <c:pt idx="3">
                  <c:v>2850</c:v>
                </c:pt>
                <c:pt idx="4">
                  <c:v>2600</c:v>
                </c:pt>
                <c:pt idx="5">
                  <c:v>1650</c:v>
                </c:pt>
                <c:pt idx="6">
                  <c:v>3100</c:v>
                </c:pt>
                <c:pt idx="7">
                  <c:v>2450</c:v>
                </c:pt>
                <c:pt idx="8">
                  <c:v>2850</c:v>
                </c:pt>
                <c:pt idx="9">
                  <c:v>2600</c:v>
                </c:pt>
                <c:pt idx="10">
                  <c:v>1650</c:v>
                </c:pt>
                <c:pt idx="11">
                  <c:v>3100</c:v>
                </c:pt>
                <c:pt idx="12">
                  <c:v>2450</c:v>
                </c:pt>
                <c:pt idx="13">
                  <c:v>2850</c:v>
                </c:pt>
                <c:pt idx="14">
                  <c:v>2600</c:v>
                </c:pt>
                <c:pt idx="15">
                  <c:v>1650</c:v>
                </c:pt>
                <c:pt idx="16">
                  <c:v>3100</c:v>
                </c:pt>
                <c:pt idx="17">
                  <c:v>2450</c:v>
                </c:pt>
                <c:pt idx="18">
                  <c:v>2850</c:v>
                </c:pt>
                <c:pt idx="19">
                  <c:v>2600</c:v>
                </c:pt>
                <c:pt idx="20">
                  <c:v>1650</c:v>
                </c:pt>
                <c:pt idx="21">
                  <c:v>3100</c:v>
                </c:pt>
                <c:pt idx="22">
                  <c:v>2450</c:v>
                </c:pt>
                <c:pt idx="23">
                  <c:v>2850</c:v>
                </c:pt>
                <c:pt idx="24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9-491D-B786-F238D827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081291921843103"/>
          <c:y val="5.5748614756488769E-2"/>
          <c:w val="0.73750370370370377"/>
          <c:h val="0.484767501077290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43308621510032E-2"/>
          <c:y val="0.19622377622377624"/>
          <c:w val="0.88145922549155042"/>
          <c:h val="0.71893581484132663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'Summary Dashboard'!$A$2:$A$26</c:f>
              <c:strCache>
                <c:ptCount val="25"/>
                <c:pt idx="0">
                  <c:v>Zermatt Signature Escape</c:v>
                </c:pt>
                <c:pt idx="1">
                  <c:v>Zermatt Ultra Luxury Experience</c:v>
                </c:pt>
                <c:pt idx="2">
                  <c:v>Zermatt Honeymoon Retreat</c:v>
                </c:pt>
                <c:pt idx="3">
                  <c:v>Zermatt Cultural Gala Package</c:v>
                </c:pt>
                <c:pt idx="4">
                  <c:v>Zermatt Heritage Rail Journey</c:v>
                </c:pt>
                <c:pt idx="5">
                  <c:v>Interlaken Signature Escape</c:v>
                </c:pt>
                <c:pt idx="6">
                  <c:v>Interlaken Ultra Luxury Experience</c:v>
                </c:pt>
                <c:pt idx="7">
                  <c:v>Interlaken Honeymoon Retreat</c:v>
                </c:pt>
                <c:pt idx="8">
                  <c:v>Interlaken Cultural Gala Package</c:v>
                </c:pt>
                <c:pt idx="9">
                  <c:v>Interlaken Heritage Rail Journey</c:v>
                </c:pt>
                <c:pt idx="10">
                  <c:v>St. Moritz Signature Escape</c:v>
                </c:pt>
                <c:pt idx="11">
                  <c:v>St. Moritz Ultra Luxury Experience</c:v>
                </c:pt>
                <c:pt idx="12">
                  <c:v>St. Moritz Honeymoon Retreat</c:v>
                </c:pt>
                <c:pt idx="13">
                  <c:v>St. Moritz Cultural Gala Package</c:v>
                </c:pt>
                <c:pt idx="14">
                  <c:v>St. Moritz Heritage Rail Journey</c:v>
                </c:pt>
                <c:pt idx="15">
                  <c:v>Lucerne Signature Escape</c:v>
                </c:pt>
                <c:pt idx="16">
                  <c:v>Lucerne Ultra Luxury Experience</c:v>
                </c:pt>
                <c:pt idx="17">
                  <c:v>Lucerne Honeymoon Retreat</c:v>
                </c:pt>
                <c:pt idx="18">
                  <c:v>Lucerne Cultural Gala Package</c:v>
                </c:pt>
                <c:pt idx="19">
                  <c:v>Lucerne Heritage Rail Journey</c:v>
                </c:pt>
                <c:pt idx="20">
                  <c:v>Grindelwald Signature Escape</c:v>
                </c:pt>
                <c:pt idx="21">
                  <c:v>Grindelwald Ultra Luxury Experience</c:v>
                </c:pt>
                <c:pt idx="22">
                  <c:v>Grindelwald Honeymoon Retreat</c:v>
                </c:pt>
                <c:pt idx="23">
                  <c:v>Grindelwald Cultural Gala Package</c:v>
                </c:pt>
                <c:pt idx="24">
                  <c:v>Grindelwald Heritage Rail Journey</c:v>
                </c:pt>
              </c:strCache>
            </c:strRef>
          </c:xVal>
          <c:yVal>
            <c:numRef>
              <c:f>'Summary Dashboard'!$B$2:$B$26</c:f>
              <c:numCache>
                <c:formatCode>General</c:formatCode>
                <c:ptCount val="25"/>
                <c:pt idx="0">
                  <c:v>1650</c:v>
                </c:pt>
                <c:pt idx="1">
                  <c:v>3100</c:v>
                </c:pt>
                <c:pt idx="2">
                  <c:v>2450</c:v>
                </c:pt>
                <c:pt idx="3">
                  <c:v>2850</c:v>
                </c:pt>
                <c:pt idx="4">
                  <c:v>2600</c:v>
                </c:pt>
                <c:pt idx="5">
                  <c:v>1650</c:v>
                </c:pt>
                <c:pt idx="6">
                  <c:v>3100</c:v>
                </c:pt>
                <c:pt idx="7">
                  <c:v>2450</c:v>
                </c:pt>
                <c:pt idx="8">
                  <c:v>2850</c:v>
                </c:pt>
                <c:pt idx="9">
                  <c:v>2600</c:v>
                </c:pt>
                <c:pt idx="10">
                  <c:v>1650</c:v>
                </c:pt>
                <c:pt idx="11">
                  <c:v>3100</c:v>
                </c:pt>
                <c:pt idx="12">
                  <c:v>2450</c:v>
                </c:pt>
                <c:pt idx="13">
                  <c:v>2850</c:v>
                </c:pt>
                <c:pt idx="14">
                  <c:v>2600</c:v>
                </c:pt>
                <c:pt idx="15">
                  <c:v>1650</c:v>
                </c:pt>
                <c:pt idx="16">
                  <c:v>3100</c:v>
                </c:pt>
                <c:pt idx="17">
                  <c:v>2450</c:v>
                </c:pt>
                <c:pt idx="18">
                  <c:v>2850</c:v>
                </c:pt>
                <c:pt idx="19">
                  <c:v>2600</c:v>
                </c:pt>
                <c:pt idx="20">
                  <c:v>1650</c:v>
                </c:pt>
                <c:pt idx="21">
                  <c:v>3100</c:v>
                </c:pt>
                <c:pt idx="22">
                  <c:v>2450</c:v>
                </c:pt>
                <c:pt idx="23">
                  <c:v>2850</c:v>
                </c:pt>
                <c:pt idx="24">
                  <c:v>2600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89-425D-8A3B-10B3AE4C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094936"/>
        <c:axId val="453097232"/>
      </c:scatterChart>
      <c:valAx>
        <c:axId val="453094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97232"/>
        <c:crosses val="autoZero"/>
        <c:crossBetween val="midCat"/>
      </c:valAx>
      <c:valAx>
        <c:axId val="45309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94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15240</xdr:rowOff>
    </xdr:from>
    <xdr:to>
      <xdr:col>9</xdr:col>
      <xdr:colOff>464820</xdr:colOff>
      <xdr:row>15</xdr:row>
      <xdr:rowOff>15240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281939</xdr:colOff>
      <xdr:row>14</xdr:row>
      <xdr:rowOff>169719</xdr:rowOff>
    </xdr:from>
    <xdr:ext cx="5486400" cy="51435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289560</xdr:colOff>
      <xdr:row>0</xdr:row>
      <xdr:rowOff>7620</xdr:rowOff>
    </xdr:from>
    <xdr:to>
      <xdr:col>10</xdr:col>
      <xdr:colOff>594360</xdr:colOff>
      <xdr:row>14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Data!Calcula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!Calculation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A1:I26" totalsRowShown="0" headerRowDxfId="25" dataDxfId="24">
  <autoFilter ref="A1:I26"/>
  <tableColumns count="9">
    <tableColumn id="1" name="City" dataDxfId="23" dataCellStyle="Normal"/>
    <tableColumn id="2" name="Resort" dataDxfId="22" dataCellStyle="Normal"/>
    <tableColumn id="3" name="Package Name" dataDxfId="21" dataCellStyle="Normal"/>
    <tableColumn id="4" name="Room Price (CHF)" dataDxfId="20" dataCellStyle="Normal"/>
    <tableColumn id="5" name="Meals (CHF)" dataDxfId="19" dataCellStyle="Normal"/>
    <tableColumn id="6" name="Activities (CHF)" dataDxfId="18" dataCellStyle="Normal"/>
    <tableColumn id="7" name="Events &amp; Trips (CHF)" dataDxfId="17" dataCellStyle="Normal"/>
    <tableColumn id="8" name="Final Per Day Price (CHF)" dataDxfId="16" dataCellStyle="Normal">
      <calculatedColumnFormula>SUM(D2:G2)</calculatedColumnFormula>
    </tableColumn>
    <tableColumn id="9" name="Availability" dataDxfId="15" dataCellStyle="Normal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27" totalsRowShown="0">
  <autoFilter ref="A1:B27"/>
  <tableColumns count="2">
    <tableColumn id="1" name="Package" dataDxfId="14"/>
    <tableColumn id="2" name="Pri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K16" totalsRowShown="0" headerRowDxfId="0" dataDxfId="1">
  <autoFilter ref="A1:K16"/>
  <tableColumns count="11">
    <tableColumn id="1" name="Booking ID" dataDxfId="12"/>
    <tableColumn id="2" name="Customer Name" dataDxfId="11"/>
    <tableColumn id="3" name="City" dataDxfId="10"/>
    <tableColumn id="4" name="Resort" dataDxfId="9"/>
    <tableColumn id="5" name="Package Name" dataDxfId="8"/>
    <tableColumn id="6" name="Check-in Date" dataDxfId="7"/>
    <tableColumn id="7" name="Check-out Date" dataDxfId="6"/>
    <tableColumn id="8" name="Nights" dataDxfId="5"/>
    <tableColumn id="9" name="Guests" dataDxfId="4"/>
    <tableColumn id="10" name="Total Amount (CHF)" dataDxfId="3"/>
    <tableColumn id="11" name="Booking Statu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D1" workbookViewId="0">
      <selection activeCell="I5" sqref="I5"/>
    </sheetView>
  </sheetViews>
  <sheetFormatPr defaultRowHeight="14.4" x14ac:dyDescent="0.3"/>
  <cols>
    <col min="1" max="1" width="12.33203125" customWidth="1"/>
    <col min="2" max="2" width="15.109375" customWidth="1"/>
    <col min="3" max="3" width="30" customWidth="1"/>
    <col min="4" max="4" width="20" customWidth="1"/>
    <col min="5" max="5" width="15.77734375" customWidth="1"/>
    <col min="6" max="6" width="17.5546875" customWidth="1"/>
    <col min="7" max="7" width="22.88671875" customWidth="1"/>
    <col min="8" max="8" width="25.44140625" customWidth="1"/>
    <col min="9" max="9" width="14.554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5" t="s">
        <v>9</v>
      </c>
      <c r="B2" s="5" t="s">
        <v>10</v>
      </c>
      <c r="C2" s="5" t="s">
        <v>11</v>
      </c>
      <c r="D2" s="5">
        <v>900</v>
      </c>
      <c r="E2" s="5">
        <v>250</v>
      </c>
      <c r="F2" s="5">
        <v>300</v>
      </c>
      <c r="G2" s="5">
        <v>200</v>
      </c>
      <c r="H2" s="5">
        <f t="shared" ref="H2:H26" si="0">SUM(D2:G2)</f>
        <v>1650</v>
      </c>
      <c r="I2" s="5" t="s">
        <v>12</v>
      </c>
    </row>
    <row r="3" spans="1:9" x14ac:dyDescent="0.3">
      <c r="A3" s="4" t="s">
        <v>9</v>
      </c>
      <c r="B3" s="4" t="s">
        <v>10</v>
      </c>
      <c r="C3" s="4" t="s">
        <v>13</v>
      </c>
      <c r="D3" s="4">
        <v>1800</v>
      </c>
      <c r="E3" s="4">
        <v>450</v>
      </c>
      <c r="F3" s="4">
        <v>500</v>
      </c>
      <c r="G3" s="4">
        <v>350</v>
      </c>
      <c r="H3" s="4">
        <f t="shared" si="0"/>
        <v>3100</v>
      </c>
      <c r="I3" s="4" t="s">
        <v>12</v>
      </c>
    </row>
    <row r="4" spans="1:9" x14ac:dyDescent="0.3">
      <c r="A4" s="5" t="s">
        <v>9</v>
      </c>
      <c r="B4" s="5" t="s">
        <v>10</v>
      </c>
      <c r="C4" s="5" t="s">
        <v>14</v>
      </c>
      <c r="D4" s="5">
        <v>1350</v>
      </c>
      <c r="E4" s="5">
        <v>400</v>
      </c>
      <c r="F4" s="5">
        <v>450</v>
      </c>
      <c r="G4" s="5">
        <v>250</v>
      </c>
      <c r="H4" s="5">
        <f t="shared" si="0"/>
        <v>2450</v>
      </c>
      <c r="I4" s="5" t="s">
        <v>52</v>
      </c>
    </row>
    <row r="5" spans="1:9" x14ac:dyDescent="0.3">
      <c r="A5" s="4" t="s">
        <v>9</v>
      </c>
      <c r="B5" s="4" t="s">
        <v>10</v>
      </c>
      <c r="C5" s="4" t="s">
        <v>15</v>
      </c>
      <c r="D5" s="4">
        <v>1600</v>
      </c>
      <c r="E5" s="4">
        <v>500</v>
      </c>
      <c r="F5" s="4">
        <v>450</v>
      </c>
      <c r="G5" s="4">
        <v>300</v>
      </c>
      <c r="H5" s="4">
        <f t="shared" si="0"/>
        <v>2850</v>
      </c>
      <c r="I5" s="4" t="s">
        <v>53</v>
      </c>
    </row>
    <row r="6" spans="1:9" x14ac:dyDescent="0.3">
      <c r="A6" s="5" t="s">
        <v>9</v>
      </c>
      <c r="B6" s="5" t="s">
        <v>10</v>
      </c>
      <c r="C6" s="5" t="s">
        <v>16</v>
      </c>
      <c r="D6" s="5">
        <v>1400</v>
      </c>
      <c r="E6" s="5">
        <v>450</v>
      </c>
      <c r="F6" s="5">
        <v>450</v>
      </c>
      <c r="G6" s="5">
        <v>300</v>
      </c>
      <c r="H6" s="5">
        <f t="shared" si="0"/>
        <v>2600</v>
      </c>
      <c r="I6" s="5" t="s">
        <v>12</v>
      </c>
    </row>
    <row r="7" spans="1:9" x14ac:dyDescent="0.3">
      <c r="A7" s="4" t="s">
        <v>17</v>
      </c>
      <c r="B7" s="4" t="s">
        <v>18</v>
      </c>
      <c r="C7" s="4" t="s">
        <v>19</v>
      </c>
      <c r="D7" s="4">
        <v>900</v>
      </c>
      <c r="E7" s="4">
        <v>250</v>
      </c>
      <c r="F7" s="4">
        <v>300</v>
      </c>
      <c r="G7" s="4">
        <v>200</v>
      </c>
      <c r="H7" s="4">
        <f t="shared" si="0"/>
        <v>1650</v>
      </c>
      <c r="I7" s="4" t="s">
        <v>52</v>
      </c>
    </row>
    <row r="8" spans="1:9" x14ac:dyDescent="0.3">
      <c r="A8" s="5" t="s">
        <v>17</v>
      </c>
      <c r="B8" s="5" t="s">
        <v>18</v>
      </c>
      <c r="C8" s="5" t="s">
        <v>20</v>
      </c>
      <c r="D8" s="5">
        <v>1800</v>
      </c>
      <c r="E8" s="5">
        <v>450</v>
      </c>
      <c r="F8" s="5">
        <v>500</v>
      </c>
      <c r="G8" s="5">
        <v>350</v>
      </c>
      <c r="H8" s="5">
        <f t="shared" si="0"/>
        <v>3100</v>
      </c>
      <c r="I8" s="5" t="s">
        <v>12</v>
      </c>
    </row>
    <row r="9" spans="1:9" x14ac:dyDescent="0.3">
      <c r="A9" s="4" t="s">
        <v>17</v>
      </c>
      <c r="B9" s="4" t="s">
        <v>18</v>
      </c>
      <c r="C9" s="4" t="s">
        <v>21</v>
      </c>
      <c r="D9" s="4">
        <v>1350</v>
      </c>
      <c r="E9" s="4">
        <v>400</v>
      </c>
      <c r="F9" s="4">
        <v>450</v>
      </c>
      <c r="G9" s="4">
        <v>250</v>
      </c>
      <c r="H9" s="4">
        <f t="shared" si="0"/>
        <v>2450</v>
      </c>
      <c r="I9" s="4" t="s">
        <v>53</v>
      </c>
    </row>
    <row r="10" spans="1:9" x14ac:dyDescent="0.3">
      <c r="A10" s="5" t="s">
        <v>17</v>
      </c>
      <c r="B10" s="5" t="s">
        <v>18</v>
      </c>
      <c r="C10" s="5" t="s">
        <v>22</v>
      </c>
      <c r="D10" s="5">
        <v>1600</v>
      </c>
      <c r="E10" s="5">
        <v>500</v>
      </c>
      <c r="F10" s="5">
        <v>450</v>
      </c>
      <c r="G10" s="5">
        <v>300</v>
      </c>
      <c r="H10" s="5">
        <f t="shared" si="0"/>
        <v>2850</v>
      </c>
      <c r="I10" s="5" t="s">
        <v>12</v>
      </c>
    </row>
    <row r="11" spans="1:9" x14ac:dyDescent="0.3">
      <c r="A11" s="4" t="s">
        <v>17</v>
      </c>
      <c r="B11" s="4" t="s">
        <v>18</v>
      </c>
      <c r="C11" s="4" t="s">
        <v>23</v>
      </c>
      <c r="D11" s="4">
        <v>1400</v>
      </c>
      <c r="E11" s="4">
        <v>450</v>
      </c>
      <c r="F11" s="4">
        <v>450</v>
      </c>
      <c r="G11" s="4">
        <v>300</v>
      </c>
      <c r="H11" s="4">
        <f t="shared" si="0"/>
        <v>2600</v>
      </c>
      <c r="I11" s="4" t="s">
        <v>12</v>
      </c>
    </row>
    <row r="12" spans="1:9" x14ac:dyDescent="0.3">
      <c r="A12" s="5" t="s">
        <v>24</v>
      </c>
      <c r="B12" s="5" t="s">
        <v>25</v>
      </c>
      <c r="C12" s="5" t="s">
        <v>26</v>
      </c>
      <c r="D12" s="5">
        <v>900</v>
      </c>
      <c r="E12" s="5">
        <v>250</v>
      </c>
      <c r="F12" s="5">
        <v>300</v>
      </c>
      <c r="G12" s="5">
        <v>200</v>
      </c>
      <c r="H12" s="5">
        <f t="shared" si="0"/>
        <v>1650</v>
      </c>
      <c r="I12" s="5" t="s">
        <v>12</v>
      </c>
    </row>
    <row r="13" spans="1:9" x14ac:dyDescent="0.3">
      <c r="A13" s="4" t="s">
        <v>24</v>
      </c>
      <c r="B13" s="4" t="s">
        <v>25</v>
      </c>
      <c r="C13" s="4" t="s">
        <v>27</v>
      </c>
      <c r="D13" s="4">
        <v>1800</v>
      </c>
      <c r="E13" s="4">
        <v>450</v>
      </c>
      <c r="F13" s="4">
        <v>500</v>
      </c>
      <c r="G13" s="4">
        <v>350</v>
      </c>
      <c r="H13" s="4">
        <f t="shared" si="0"/>
        <v>3100</v>
      </c>
      <c r="I13" s="4" t="s">
        <v>53</v>
      </c>
    </row>
    <row r="14" spans="1:9" x14ac:dyDescent="0.3">
      <c r="A14" s="5" t="s">
        <v>24</v>
      </c>
      <c r="B14" s="5" t="s">
        <v>25</v>
      </c>
      <c r="C14" s="5" t="s">
        <v>28</v>
      </c>
      <c r="D14" s="5">
        <v>1350</v>
      </c>
      <c r="E14" s="5">
        <v>400</v>
      </c>
      <c r="F14" s="5">
        <v>450</v>
      </c>
      <c r="G14" s="5">
        <v>250</v>
      </c>
      <c r="H14" s="5">
        <f t="shared" si="0"/>
        <v>2450</v>
      </c>
      <c r="I14" s="5" t="s">
        <v>12</v>
      </c>
    </row>
    <row r="15" spans="1:9" x14ac:dyDescent="0.3">
      <c r="A15" s="4" t="s">
        <v>24</v>
      </c>
      <c r="B15" s="4" t="s">
        <v>25</v>
      </c>
      <c r="C15" s="4" t="s">
        <v>29</v>
      </c>
      <c r="D15" s="4">
        <v>1600</v>
      </c>
      <c r="E15" s="4">
        <v>500</v>
      </c>
      <c r="F15" s="4">
        <v>450</v>
      </c>
      <c r="G15" s="4">
        <v>300</v>
      </c>
      <c r="H15" s="4">
        <f t="shared" si="0"/>
        <v>2850</v>
      </c>
      <c r="I15" s="4" t="s">
        <v>12</v>
      </c>
    </row>
    <row r="16" spans="1:9" x14ac:dyDescent="0.3">
      <c r="A16" s="5" t="s">
        <v>24</v>
      </c>
      <c r="B16" s="5" t="s">
        <v>25</v>
      </c>
      <c r="C16" s="5" t="s">
        <v>30</v>
      </c>
      <c r="D16" s="5">
        <v>1400</v>
      </c>
      <c r="E16" s="5">
        <v>450</v>
      </c>
      <c r="F16" s="5">
        <v>450</v>
      </c>
      <c r="G16" s="5">
        <v>300</v>
      </c>
      <c r="H16" s="5">
        <f t="shared" si="0"/>
        <v>2600</v>
      </c>
      <c r="I16" s="5" t="s">
        <v>12</v>
      </c>
    </row>
    <row r="17" spans="1:9" x14ac:dyDescent="0.3">
      <c r="A17" s="4" t="s">
        <v>31</v>
      </c>
      <c r="B17" s="4" t="s">
        <v>32</v>
      </c>
      <c r="C17" s="4" t="s">
        <v>33</v>
      </c>
      <c r="D17" s="4">
        <v>900</v>
      </c>
      <c r="E17" s="4">
        <v>250</v>
      </c>
      <c r="F17" s="4">
        <v>300</v>
      </c>
      <c r="G17" s="4">
        <v>200</v>
      </c>
      <c r="H17" s="4">
        <f t="shared" si="0"/>
        <v>1650</v>
      </c>
      <c r="I17" s="4" t="s">
        <v>12</v>
      </c>
    </row>
    <row r="18" spans="1:9" x14ac:dyDescent="0.3">
      <c r="A18" s="5" t="s">
        <v>31</v>
      </c>
      <c r="B18" s="5" t="s">
        <v>32</v>
      </c>
      <c r="C18" s="5" t="s">
        <v>34</v>
      </c>
      <c r="D18" s="5">
        <v>1800</v>
      </c>
      <c r="E18" s="5">
        <v>450</v>
      </c>
      <c r="F18" s="5">
        <v>500</v>
      </c>
      <c r="G18" s="5">
        <v>350</v>
      </c>
      <c r="H18" s="5">
        <f t="shared" si="0"/>
        <v>3100</v>
      </c>
      <c r="I18" s="5" t="s">
        <v>12</v>
      </c>
    </row>
    <row r="19" spans="1:9" x14ac:dyDescent="0.3">
      <c r="A19" s="4" t="s">
        <v>31</v>
      </c>
      <c r="B19" s="4" t="s">
        <v>32</v>
      </c>
      <c r="C19" s="4" t="s">
        <v>35</v>
      </c>
      <c r="D19" s="4">
        <v>1350</v>
      </c>
      <c r="E19" s="4">
        <v>400</v>
      </c>
      <c r="F19" s="4">
        <v>450</v>
      </c>
      <c r="G19" s="4">
        <v>250</v>
      </c>
      <c r="H19" s="4">
        <f t="shared" si="0"/>
        <v>2450</v>
      </c>
      <c r="I19" s="4" t="s">
        <v>52</v>
      </c>
    </row>
    <row r="20" spans="1:9" x14ac:dyDescent="0.3">
      <c r="A20" s="5" t="s">
        <v>31</v>
      </c>
      <c r="B20" s="5" t="s">
        <v>32</v>
      </c>
      <c r="C20" s="5" t="s">
        <v>36</v>
      </c>
      <c r="D20" s="5">
        <v>1600</v>
      </c>
      <c r="E20" s="5">
        <v>500</v>
      </c>
      <c r="F20" s="5">
        <v>450</v>
      </c>
      <c r="G20" s="5">
        <v>300</v>
      </c>
      <c r="H20" s="5">
        <f t="shared" si="0"/>
        <v>2850</v>
      </c>
      <c r="I20" s="5" t="s">
        <v>12</v>
      </c>
    </row>
    <row r="21" spans="1:9" x14ac:dyDescent="0.3">
      <c r="A21" s="4" t="s">
        <v>31</v>
      </c>
      <c r="B21" s="4" t="s">
        <v>32</v>
      </c>
      <c r="C21" s="4" t="s">
        <v>37</v>
      </c>
      <c r="D21" s="4">
        <v>1400</v>
      </c>
      <c r="E21" s="4">
        <v>450</v>
      </c>
      <c r="F21" s="4">
        <v>450</v>
      </c>
      <c r="G21" s="4">
        <v>300</v>
      </c>
      <c r="H21" s="4">
        <f t="shared" si="0"/>
        <v>2600</v>
      </c>
      <c r="I21" s="4" t="s">
        <v>52</v>
      </c>
    </row>
    <row r="22" spans="1:9" x14ac:dyDescent="0.3">
      <c r="A22" s="5" t="s">
        <v>38</v>
      </c>
      <c r="B22" s="5" t="s">
        <v>39</v>
      </c>
      <c r="C22" s="5" t="s">
        <v>40</v>
      </c>
      <c r="D22" s="5">
        <v>900</v>
      </c>
      <c r="E22" s="5">
        <v>250</v>
      </c>
      <c r="F22" s="5">
        <v>300</v>
      </c>
      <c r="G22" s="5">
        <v>200</v>
      </c>
      <c r="H22" s="5">
        <f t="shared" si="0"/>
        <v>1650</v>
      </c>
      <c r="I22" s="5" t="s">
        <v>12</v>
      </c>
    </row>
    <row r="23" spans="1:9" x14ac:dyDescent="0.3">
      <c r="A23" s="4" t="s">
        <v>38</v>
      </c>
      <c r="B23" s="4" t="s">
        <v>39</v>
      </c>
      <c r="C23" s="4" t="s">
        <v>41</v>
      </c>
      <c r="D23" s="4">
        <v>1800</v>
      </c>
      <c r="E23" s="4">
        <v>450</v>
      </c>
      <c r="F23" s="4">
        <v>500</v>
      </c>
      <c r="G23" s="4">
        <v>350</v>
      </c>
      <c r="H23" s="4">
        <f t="shared" si="0"/>
        <v>3100</v>
      </c>
      <c r="I23" s="4" t="s">
        <v>52</v>
      </c>
    </row>
    <row r="24" spans="1:9" x14ac:dyDescent="0.3">
      <c r="A24" s="5" t="s">
        <v>38</v>
      </c>
      <c r="B24" s="5" t="s">
        <v>39</v>
      </c>
      <c r="C24" s="5" t="s">
        <v>42</v>
      </c>
      <c r="D24" s="5">
        <v>1350</v>
      </c>
      <c r="E24" s="5">
        <v>400</v>
      </c>
      <c r="F24" s="5">
        <v>450</v>
      </c>
      <c r="G24" s="5">
        <v>250</v>
      </c>
      <c r="H24" s="5">
        <f t="shared" si="0"/>
        <v>2450</v>
      </c>
      <c r="I24" s="5" t="s">
        <v>52</v>
      </c>
    </row>
    <row r="25" spans="1:9" x14ac:dyDescent="0.3">
      <c r="A25" s="4" t="s">
        <v>38</v>
      </c>
      <c r="B25" s="4" t="s">
        <v>39</v>
      </c>
      <c r="C25" s="4" t="s">
        <v>43</v>
      </c>
      <c r="D25" s="4">
        <v>1600</v>
      </c>
      <c r="E25" s="4">
        <v>500</v>
      </c>
      <c r="F25" s="4">
        <v>450</v>
      </c>
      <c r="G25" s="4">
        <v>300</v>
      </c>
      <c r="H25" s="4">
        <f t="shared" si="0"/>
        <v>2850</v>
      </c>
      <c r="I25" s="4" t="s">
        <v>12</v>
      </c>
    </row>
    <row r="26" spans="1:9" x14ac:dyDescent="0.3">
      <c r="A26" s="5" t="s">
        <v>38</v>
      </c>
      <c r="B26" s="5" t="s">
        <v>39</v>
      </c>
      <c r="C26" s="5" t="s">
        <v>44</v>
      </c>
      <c r="D26" s="5">
        <v>1400</v>
      </c>
      <c r="E26" s="5">
        <v>450</v>
      </c>
      <c r="F26" s="5">
        <v>450</v>
      </c>
      <c r="G26" s="5">
        <v>300</v>
      </c>
      <c r="H26" s="5">
        <f t="shared" si="0"/>
        <v>2600</v>
      </c>
      <c r="I26" s="5" t="s">
        <v>12</v>
      </c>
    </row>
  </sheetData>
  <dataValidations count="1">
    <dataValidation type="list" allowBlank="1" sqref="I2:I26">
      <formula1>"Available,Limited,Fully Booked"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K5" sqref="K5"/>
    </sheetView>
  </sheetViews>
  <sheetFormatPr defaultRowHeight="14.4" x14ac:dyDescent="0.3"/>
  <cols>
    <col min="1" max="1" width="21.77734375" customWidth="1"/>
  </cols>
  <sheetData>
    <row r="1" spans="1:2" x14ac:dyDescent="0.3">
      <c r="A1" s="7" t="s">
        <v>45</v>
      </c>
      <c r="B1" s="7">
        <f>COUNTA('[1]Raw Data!Calculations'!C2:C26)</f>
        <v>25</v>
      </c>
    </row>
    <row r="2" spans="1:2" x14ac:dyDescent="0.3">
      <c r="A2" s="6" t="s">
        <v>46</v>
      </c>
      <c r="B2" s="6">
        <f>AVERAGE('Raw Data'!H2:H26)</f>
        <v>2530</v>
      </c>
    </row>
    <row r="3" spans="1:2" x14ac:dyDescent="0.3">
      <c r="A3" s="8" t="s">
        <v>47</v>
      </c>
      <c r="B3" s="8">
        <f>SUM('Raw Data'!H2:H26)</f>
        <v>63250</v>
      </c>
    </row>
    <row r="4" spans="1:2" x14ac:dyDescent="0.3">
      <c r="A4" s="6" t="s">
        <v>48</v>
      </c>
      <c r="B4" s="6">
        <f>COUNTIF('Raw Data'!H2:H26,"&gt;2500")</f>
        <v>15</v>
      </c>
    </row>
    <row r="5" spans="1:2" x14ac:dyDescent="0.3">
      <c r="A5" s="8" t="s">
        <v>51</v>
      </c>
      <c r="B5" s="8">
        <f>COUNTIF('Raw Data'!H2:H26,"&lt;2500")</f>
        <v>10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zoomScaleNormal="100" workbookViewId="0">
      <selection activeCell="C15" sqref="C15"/>
    </sheetView>
  </sheetViews>
  <sheetFormatPr defaultRowHeight="14.4" x14ac:dyDescent="0.3"/>
  <cols>
    <col min="1" max="1" width="30.5546875" customWidth="1"/>
    <col min="2" max="2" width="10.33203125" customWidth="1"/>
    <col min="3" max="5" width="10.109375" customWidth="1"/>
  </cols>
  <sheetData>
    <row r="1" spans="1:2" x14ac:dyDescent="0.3">
      <c r="A1" s="1" t="s">
        <v>49</v>
      </c>
      <c r="B1" s="1" t="s">
        <v>50</v>
      </c>
    </row>
    <row r="2" spans="1:2" x14ac:dyDescent="0.3">
      <c r="A2" s="2" t="str">
        <f>'Raw Data'!C2</f>
        <v>Zermatt Signature Escape</v>
      </c>
      <c r="B2" s="2">
        <f>'Raw Data'!H2</f>
        <v>1650</v>
      </c>
    </row>
    <row r="3" spans="1:2" x14ac:dyDescent="0.3">
      <c r="A3" s="2" t="str">
        <f>'Raw Data'!C3</f>
        <v>Zermatt Ultra Luxury Experience</v>
      </c>
      <c r="B3" s="2">
        <f>'Raw Data'!H3</f>
        <v>3100</v>
      </c>
    </row>
    <row r="4" spans="1:2" x14ac:dyDescent="0.3">
      <c r="A4" s="2" t="str">
        <f>'Raw Data'!C4</f>
        <v>Zermatt Honeymoon Retreat</v>
      </c>
      <c r="B4" s="2">
        <f>'Raw Data'!H4</f>
        <v>2450</v>
      </c>
    </row>
    <row r="5" spans="1:2" x14ac:dyDescent="0.3">
      <c r="A5" s="2" t="str">
        <f>'Raw Data'!C5</f>
        <v>Zermatt Cultural Gala Package</v>
      </c>
      <c r="B5" s="2">
        <f>'Raw Data'!H5</f>
        <v>2850</v>
      </c>
    </row>
    <row r="6" spans="1:2" x14ac:dyDescent="0.3">
      <c r="A6" s="2" t="str">
        <f>'Raw Data'!C6</f>
        <v>Zermatt Heritage Rail Journey</v>
      </c>
      <c r="B6" s="2">
        <f>'Raw Data'!H6</f>
        <v>2600</v>
      </c>
    </row>
    <row r="7" spans="1:2" x14ac:dyDescent="0.3">
      <c r="A7" s="2" t="str">
        <f>'Raw Data'!C7</f>
        <v>Interlaken Signature Escape</v>
      </c>
      <c r="B7" s="2">
        <f>'Raw Data'!H7</f>
        <v>1650</v>
      </c>
    </row>
    <row r="8" spans="1:2" x14ac:dyDescent="0.3">
      <c r="A8" s="2" t="str">
        <f>'Raw Data'!C8</f>
        <v>Interlaken Ultra Luxury Experience</v>
      </c>
      <c r="B8" s="2">
        <f>'Raw Data'!H8</f>
        <v>3100</v>
      </c>
    </row>
    <row r="9" spans="1:2" x14ac:dyDescent="0.3">
      <c r="A9" s="2" t="str">
        <f>'Raw Data'!C9</f>
        <v>Interlaken Honeymoon Retreat</v>
      </c>
      <c r="B9" s="2">
        <f>'Raw Data'!H9</f>
        <v>2450</v>
      </c>
    </row>
    <row r="10" spans="1:2" x14ac:dyDescent="0.3">
      <c r="A10" s="2" t="str">
        <f>'Raw Data'!C10</f>
        <v>Interlaken Cultural Gala Package</v>
      </c>
      <c r="B10" s="2">
        <f>'Raw Data'!H10</f>
        <v>2850</v>
      </c>
    </row>
    <row r="11" spans="1:2" x14ac:dyDescent="0.3">
      <c r="A11" s="2" t="str">
        <f>'Raw Data'!C11</f>
        <v>Interlaken Heritage Rail Journey</v>
      </c>
      <c r="B11" s="2">
        <f>'Raw Data'!H11</f>
        <v>2600</v>
      </c>
    </row>
    <row r="12" spans="1:2" x14ac:dyDescent="0.3">
      <c r="A12" s="2" t="str">
        <f>'Raw Data'!C12</f>
        <v>St. Moritz Signature Escape</v>
      </c>
      <c r="B12" s="2">
        <f>'Raw Data'!H12</f>
        <v>1650</v>
      </c>
    </row>
    <row r="13" spans="1:2" x14ac:dyDescent="0.3">
      <c r="A13" s="2" t="str">
        <f>'Raw Data'!C13</f>
        <v>St. Moritz Ultra Luxury Experience</v>
      </c>
      <c r="B13" s="2">
        <f>'Raw Data'!H13</f>
        <v>3100</v>
      </c>
    </row>
    <row r="14" spans="1:2" x14ac:dyDescent="0.3">
      <c r="A14" s="2" t="str">
        <f>'Raw Data'!C14</f>
        <v>St. Moritz Honeymoon Retreat</v>
      </c>
      <c r="B14" s="2">
        <f>'Raw Data'!H14</f>
        <v>2450</v>
      </c>
    </row>
    <row r="15" spans="1:2" x14ac:dyDescent="0.3">
      <c r="A15" s="2" t="str">
        <f>'Raw Data'!C15</f>
        <v>St. Moritz Cultural Gala Package</v>
      </c>
      <c r="B15" s="2">
        <f>'Raw Data'!H15</f>
        <v>2850</v>
      </c>
    </row>
    <row r="16" spans="1:2" x14ac:dyDescent="0.3">
      <c r="A16" s="2" t="str">
        <f>'Raw Data'!C16</f>
        <v>St. Moritz Heritage Rail Journey</v>
      </c>
      <c r="B16" s="2">
        <f>'Raw Data'!H16</f>
        <v>2600</v>
      </c>
    </row>
    <row r="17" spans="1:2" x14ac:dyDescent="0.3">
      <c r="A17" s="2" t="str">
        <f>'Raw Data'!C17</f>
        <v>Lucerne Signature Escape</v>
      </c>
      <c r="B17" s="2">
        <f>'Raw Data'!H17</f>
        <v>1650</v>
      </c>
    </row>
    <row r="18" spans="1:2" x14ac:dyDescent="0.3">
      <c r="A18" s="2" t="str">
        <f>'Raw Data'!C18</f>
        <v>Lucerne Ultra Luxury Experience</v>
      </c>
      <c r="B18" s="2">
        <f>'Raw Data'!H18</f>
        <v>3100</v>
      </c>
    </row>
    <row r="19" spans="1:2" x14ac:dyDescent="0.3">
      <c r="A19" s="2" t="str">
        <f>'Raw Data'!C19</f>
        <v>Lucerne Honeymoon Retreat</v>
      </c>
      <c r="B19" s="2">
        <f>'Raw Data'!H19</f>
        <v>2450</v>
      </c>
    </row>
    <row r="20" spans="1:2" x14ac:dyDescent="0.3">
      <c r="A20" s="2" t="str">
        <f>'Raw Data'!C20</f>
        <v>Lucerne Cultural Gala Package</v>
      </c>
      <c r="B20" s="2">
        <f>'Raw Data'!H20</f>
        <v>2850</v>
      </c>
    </row>
    <row r="21" spans="1:2" x14ac:dyDescent="0.3">
      <c r="A21" s="2" t="str">
        <f>'Raw Data'!C21</f>
        <v>Lucerne Heritage Rail Journey</v>
      </c>
      <c r="B21" s="2">
        <f>'Raw Data'!H21</f>
        <v>2600</v>
      </c>
    </row>
    <row r="22" spans="1:2" x14ac:dyDescent="0.3">
      <c r="A22" s="2" t="str">
        <f>'Raw Data'!C22</f>
        <v>Grindelwald Signature Escape</v>
      </c>
      <c r="B22" s="2">
        <f>'Raw Data'!H22</f>
        <v>1650</v>
      </c>
    </row>
    <row r="23" spans="1:2" x14ac:dyDescent="0.3">
      <c r="A23" s="2" t="str">
        <f>'Raw Data'!C23</f>
        <v>Grindelwald Ultra Luxury Experience</v>
      </c>
      <c r="B23" s="2">
        <f>'Raw Data'!H23</f>
        <v>3100</v>
      </c>
    </row>
    <row r="24" spans="1:2" x14ac:dyDescent="0.3">
      <c r="A24" s="2" t="str">
        <f>'Raw Data'!C24</f>
        <v>Grindelwald Honeymoon Retreat</v>
      </c>
      <c r="B24" s="2">
        <f>'Raw Data'!H24</f>
        <v>2450</v>
      </c>
    </row>
    <row r="25" spans="1:2" x14ac:dyDescent="0.3">
      <c r="A25" s="2" t="str">
        <f>'Raw Data'!C25</f>
        <v>Grindelwald Cultural Gala Package</v>
      </c>
      <c r="B25" s="2">
        <f>'Raw Data'!H25</f>
        <v>2850</v>
      </c>
    </row>
    <row r="26" spans="1:2" x14ac:dyDescent="0.3">
      <c r="A26" s="2" t="str">
        <f>'Raw Data'!C26</f>
        <v>Grindelwald Heritage Rail Journey</v>
      </c>
      <c r="B26" s="2">
        <f>'Raw Data'!H26</f>
        <v>2600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B16" sqref="B16"/>
    </sheetView>
  </sheetViews>
  <sheetFormatPr defaultRowHeight="14.4" x14ac:dyDescent="0.3"/>
  <cols>
    <col min="1" max="1" width="15.44140625" customWidth="1"/>
    <col min="2" max="2" width="18.77734375" customWidth="1"/>
    <col min="3" max="3" width="15" customWidth="1"/>
    <col min="4" max="4" width="17.21875" customWidth="1"/>
    <col min="5" max="5" width="30.88671875" customWidth="1"/>
    <col min="6" max="6" width="17.109375" customWidth="1"/>
    <col min="7" max="7" width="19.33203125" customWidth="1"/>
    <col min="8" max="8" width="11.44140625" customWidth="1"/>
    <col min="9" max="9" width="11.109375" customWidth="1"/>
    <col min="10" max="10" width="22.21875" customWidth="1"/>
    <col min="11" max="11" width="18.109375" customWidth="1"/>
  </cols>
  <sheetData>
    <row r="1" spans="1:13" x14ac:dyDescent="0.3">
      <c r="A1" s="1" t="s">
        <v>54</v>
      </c>
      <c r="B1" s="1" t="s">
        <v>55</v>
      </c>
      <c r="C1" s="1" t="s">
        <v>0</v>
      </c>
      <c r="D1" s="1" t="s">
        <v>1</v>
      </c>
      <c r="E1" s="1" t="s">
        <v>2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0"/>
      <c r="M1" s="10"/>
    </row>
    <row r="2" spans="1:13" x14ac:dyDescent="0.3">
      <c r="A2" s="2" t="s">
        <v>62</v>
      </c>
      <c r="B2" s="2" t="s">
        <v>81</v>
      </c>
      <c r="C2" s="2" t="s">
        <v>24</v>
      </c>
      <c r="D2" s="2" t="s">
        <v>25</v>
      </c>
      <c r="E2" s="2" t="s">
        <v>26</v>
      </c>
      <c r="F2" s="9">
        <v>45687</v>
      </c>
      <c r="G2" s="9">
        <v>45693</v>
      </c>
      <c r="H2" s="2">
        <v>6</v>
      </c>
      <c r="I2" s="2">
        <v>4</v>
      </c>
      <c r="J2" s="2" t="b">
        <f>SUM(D12:G12)=SUM(D12:G12)</f>
        <v>1</v>
      </c>
      <c r="K2" s="2" t="s">
        <v>63</v>
      </c>
    </row>
    <row r="3" spans="1:13" x14ac:dyDescent="0.3">
      <c r="A3" s="2" t="s">
        <v>64</v>
      </c>
      <c r="B3" s="2" t="s">
        <v>85</v>
      </c>
      <c r="C3" s="2" t="s">
        <v>38</v>
      </c>
      <c r="D3" s="2" t="s">
        <v>39</v>
      </c>
      <c r="E3" s="2" t="s">
        <v>42</v>
      </c>
      <c r="F3" s="9">
        <v>45666</v>
      </c>
      <c r="G3" s="9">
        <v>45671</v>
      </c>
      <c r="H3" s="2">
        <v>5</v>
      </c>
      <c r="I3" s="2">
        <v>4</v>
      </c>
      <c r="J3" s="2" t="b">
        <f>SUM(D24:G24)=SUM(D24:G24)</f>
        <v>1</v>
      </c>
      <c r="K3" s="2" t="s">
        <v>65</v>
      </c>
    </row>
    <row r="4" spans="1:13" x14ac:dyDescent="0.3">
      <c r="A4" s="2" t="s">
        <v>66</v>
      </c>
      <c r="B4" s="2" t="s">
        <v>86</v>
      </c>
      <c r="C4" s="2" t="s">
        <v>31</v>
      </c>
      <c r="D4" s="2" t="s">
        <v>32</v>
      </c>
      <c r="E4" s="2" t="s">
        <v>37</v>
      </c>
      <c r="F4" s="9">
        <v>45696</v>
      </c>
      <c r="G4" s="9">
        <v>45699</v>
      </c>
      <c r="H4" s="2">
        <v>3</v>
      </c>
      <c r="I4" s="2">
        <v>1</v>
      </c>
      <c r="J4" s="2" t="b">
        <f>SUM(D21:G21)=SUM(D21:G21)</f>
        <v>1</v>
      </c>
      <c r="K4" s="2" t="s">
        <v>65</v>
      </c>
    </row>
    <row r="5" spans="1:13" x14ac:dyDescent="0.3">
      <c r="A5" s="2" t="s">
        <v>67</v>
      </c>
      <c r="B5" s="2" t="s">
        <v>83</v>
      </c>
      <c r="C5" s="2" t="s">
        <v>38</v>
      </c>
      <c r="D5" s="2" t="s">
        <v>39</v>
      </c>
      <c r="E5" s="2" t="s">
        <v>40</v>
      </c>
      <c r="F5" s="9">
        <v>45711</v>
      </c>
      <c r="G5" s="9">
        <v>45715</v>
      </c>
      <c r="H5" s="2">
        <v>4</v>
      </c>
      <c r="I5" s="2">
        <v>4</v>
      </c>
      <c r="J5" s="2" t="b">
        <f>SUM(D22:G22)=SUM(D22:G22)</f>
        <v>1</v>
      </c>
      <c r="K5" s="2" t="s">
        <v>63</v>
      </c>
    </row>
    <row r="6" spans="1:13" x14ac:dyDescent="0.3">
      <c r="A6" s="2" t="s">
        <v>69</v>
      </c>
      <c r="B6" s="2" t="s">
        <v>80</v>
      </c>
      <c r="C6" s="2" t="s">
        <v>31</v>
      </c>
      <c r="D6" s="2" t="s">
        <v>32</v>
      </c>
      <c r="E6" s="2" t="s">
        <v>36</v>
      </c>
      <c r="F6" s="9">
        <v>45680</v>
      </c>
      <c r="G6" s="9">
        <v>45686</v>
      </c>
      <c r="H6" s="2">
        <v>6</v>
      </c>
      <c r="I6" s="2">
        <v>2</v>
      </c>
      <c r="J6" s="2" t="b">
        <f>SUM(D20:G20)=SUM(D20:G20)</f>
        <v>1</v>
      </c>
      <c r="K6" s="2" t="s">
        <v>63</v>
      </c>
    </row>
    <row r="7" spans="1:13" x14ac:dyDescent="0.3">
      <c r="A7" s="2" t="s">
        <v>70</v>
      </c>
      <c r="B7" s="2" t="s">
        <v>68</v>
      </c>
      <c r="C7" s="2" t="s">
        <v>38</v>
      </c>
      <c r="D7" s="2" t="s">
        <v>39</v>
      </c>
      <c r="E7" s="2" t="s">
        <v>42</v>
      </c>
      <c r="F7" s="9">
        <v>45665</v>
      </c>
      <c r="G7" s="9">
        <v>45669</v>
      </c>
      <c r="H7" s="2">
        <v>4</v>
      </c>
      <c r="I7" s="2">
        <v>4</v>
      </c>
      <c r="J7" s="2" t="b">
        <f>SUM(D24:G24)=SUM(D24:G24)</f>
        <v>1</v>
      </c>
      <c r="K7" s="2" t="s">
        <v>63</v>
      </c>
    </row>
    <row r="8" spans="1:13" x14ac:dyDescent="0.3">
      <c r="A8" s="2" t="s">
        <v>71</v>
      </c>
      <c r="B8" s="2" t="s">
        <v>82</v>
      </c>
      <c r="C8" s="2" t="s">
        <v>38</v>
      </c>
      <c r="D8" s="2" t="s">
        <v>39</v>
      </c>
      <c r="E8" s="2" t="s">
        <v>41</v>
      </c>
      <c r="F8" s="9">
        <v>45690</v>
      </c>
      <c r="G8" s="9">
        <v>45692</v>
      </c>
      <c r="H8" s="2">
        <v>2</v>
      </c>
      <c r="I8" s="2">
        <v>4</v>
      </c>
      <c r="J8" s="2" t="b">
        <f>SUM(D23:G23)=SUM(D23:G23)</f>
        <v>1</v>
      </c>
      <c r="K8" s="2" t="s">
        <v>65</v>
      </c>
    </row>
    <row r="9" spans="1:13" x14ac:dyDescent="0.3">
      <c r="A9" s="2" t="s">
        <v>72</v>
      </c>
      <c r="B9" s="2" t="s">
        <v>84</v>
      </c>
      <c r="C9" s="2" t="s">
        <v>38</v>
      </c>
      <c r="D9" s="2" t="s">
        <v>39</v>
      </c>
      <c r="E9" s="2" t="s">
        <v>41</v>
      </c>
      <c r="F9" s="9">
        <v>45671</v>
      </c>
      <c r="G9" s="9">
        <v>45673</v>
      </c>
      <c r="H9" s="2">
        <v>2</v>
      </c>
      <c r="I9" s="2">
        <v>1</v>
      </c>
      <c r="J9" s="2" t="b">
        <f>SUM(D23:G23)=SUM(D23:G23)</f>
        <v>1</v>
      </c>
      <c r="K9" s="2" t="s">
        <v>65</v>
      </c>
    </row>
    <row r="10" spans="1:13" x14ac:dyDescent="0.3">
      <c r="A10" s="2" t="s">
        <v>73</v>
      </c>
      <c r="B10" s="2" t="s">
        <v>87</v>
      </c>
      <c r="C10" s="2" t="s">
        <v>38</v>
      </c>
      <c r="D10" s="2" t="s">
        <v>39</v>
      </c>
      <c r="E10" s="2" t="s">
        <v>40</v>
      </c>
      <c r="F10" s="9">
        <v>45709</v>
      </c>
      <c r="G10" s="9">
        <v>45711</v>
      </c>
      <c r="H10" s="2">
        <v>2</v>
      </c>
      <c r="I10" s="2">
        <v>1</v>
      </c>
      <c r="J10" s="2" t="b">
        <f>SUM(D22:G22)=SUM(D22:G22)</f>
        <v>1</v>
      </c>
      <c r="K10" s="2" t="s">
        <v>63</v>
      </c>
    </row>
    <row r="11" spans="1:13" x14ac:dyDescent="0.3">
      <c r="A11" s="2" t="s">
        <v>74</v>
      </c>
      <c r="B11" s="2" t="s">
        <v>88</v>
      </c>
      <c r="C11" s="2" t="s">
        <v>31</v>
      </c>
      <c r="D11" s="2" t="s">
        <v>32</v>
      </c>
      <c r="E11" s="2" t="s">
        <v>33</v>
      </c>
      <c r="F11" s="9">
        <v>45696</v>
      </c>
      <c r="G11" s="9">
        <v>45698</v>
      </c>
      <c r="H11" s="2">
        <v>2</v>
      </c>
      <c r="I11" s="2">
        <v>3</v>
      </c>
      <c r="J11" s="2" t="b">
        <f>SUM(D17:G17)=SUM(D17:G17)</f>
        <v>1</v>
      </c>
      <c r="K11" s="2" t="s">
        <v>65</v>
      </c>
    </row>
    <row r="12" spans="1:13" x14ac:dyDescent="0.3">
      <c r="A12" s="2" t="s">
        <v>75</v>
      </c>
      <c r="B12" s="2" t="s">
        <v>89</v>
      </c>
      <c r="C12" s="2" t="s">
        <v>9</v>
      </c>
      <c r="D12" s="2" t="s">
        <v>10</v>
      </c>
      <c r="E12" s="2" t="s">
        <v>13</v>
      </c>
      <c r="F12" s="9">
        <v>45688</v>
      </c>
      <c r="G12" s="9">
        <v>45691</v>
      </c>
      <c r="H12" s="2">
        <v>3</v>
      </c>
      <c r="I12" s="2">
        <v>2</v>
      </c>
      <c r="J12" s="2" t="b">
        <f>SUM(D3:G3)=SUM(D3:G3)</f>
        <v>1</v>
      </c>
      <c r="K12" s="2" t="s">
        <v>65</v>
      </c>
    </row>
    <row r="13" spans="1:13" x14ac:dyDescent="0.3">
      <c r="A13" s="2" t="s">
        <v>76</v>
      </c>
      <c r="B13" s="2" t="s">
        <v>90</v>
      </c>
      <c r="C13" s="2" t="s">
        <v>17</v>
      </c>
      <c r="D13" s="2" t="s">
        <v>18</v>
      </c>
      <c r="E13" s="2" t="s">
        <v>20</v>
      </c>
      <c r="F13" s="9">
        <v>45686</v>
      </c>
      <c r="G13" s="9">
        <v>45692</v>
      </c>
      <c r="H13" s="2">
        <v>6</v>
      </c>
      <c r="I13" s="2">
        <v>3</v>
      </c>
      <c r="J13" s="2" t="b">
        <f>SUM(D8:G8)=SUM(D8:G8)</f>
        <v>1</v>
      </c>
      <c r="K13" s="2" t="s">
        <v>65</v>
      </c>
    </row>
    <row r="14" spans="1:13" x14ac:dyDescent="0.3">
      <c r="A14" s="2" t="s">
        <v>77</v>
      </c>
      <c r="B14" s="2" t="s">
        <v>91</v>
      </c>
      <c r="C14" s="2" t="s">
        <v>38</v>
      </c>
      <c r="D14" s="2" t="s">
        <v>39</v>
      </c>
      <c r="E14" s="2" t="s">
        <v>42</v>
      </c>
      <c r="F14" s="9">
        <v>45669</v>
      </c>
      <c r="G14" s="9">
        <v>45674</v>
      </c>
      <c r="H14" s="2">
        <v>5</v>
      </c>
      <c r="I14" s="2">
        <v>1</v>
      </c>
      <c r="J14" s="2" t="b">
        <f>SUM(D24:G24)=SUM(D24:G24)</f>
        <v>1</v>
      </c>
      <c r="K14" s="2" t="s">
        <v>65</v>
      </c>
    </row>
    <row r="15" spans="1:13" x14ac:dyDescent="0.3">
      <c r="A15" s="2" t="s">
        <v>78</v>
      </c>
      <c r="B15" s="2" t="s">
        <v>92</v>
      </c>
      <c r="C15" s="2" t="s">
        <v>9</v>
      </c>
      <c r="D15" s="2" t="s">
        <v>10</v>
      </c>
      <c r="E15" s="2" t="s">
        <v>16</v>
      </c>
      <c r="F15" s="9">
        <v>45708</v>
      </c>
      <c r="G15" s="9">
        <v>45713</v>
      </c>
      <c r="H15" s="2">
        <v>5</v>
      </c>
      <c r="I15" s="2">
        <v>3</v>
      </c>
      <c r="J15" s="2" t="b">
        <f>SUM(D6:G6)=SUM(D6:G6)</f>
        <v>1</v>
      </c>
      <c r="K15" s="2" t="s">
        <v>63</v>
      </c>
    </row>
    <row r="16" spans="1:13" x14ac:dyDescent="0.3">
      <c r="A16" s="2" t="s">
        <v>79</v>
      </c>
      <c r="B16" s="2" t="s">
        <v>93</v>
      </c>
      <c r="C16" s="2" t="s">
        <v>38</v>
      </c>
      <c r="D16" s="2" t="s">
        <v>39</v>
      </c>
      <c r="E16" s="2" t="s">
        <v>41</v>
      </c>
      <c r="F16" s="9">
        <v>45691</v>
      </c>
      <c r="G16" s="9">
        <v>45697</v>
      </c>
      <c r="H16" s="2">
        <v>6</v>
      </c>
      <c r="I16" s="2">
        <v>1</v>
      </c>
      <c r="J16" s="2" t="b">
        <f>SUM(D23:G23)=SUM(D23:G23)</f>
        <v>1</v>
      </c>
      <c r="K16" s="2" t="s">
        <v>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Calculations</vt:lpstr>
      <vt:lpstr>Summary Dashboard</vt:lpstr>
      <vt:lpstr>Our 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2025-12-27T11:20:52Z</dcterms:created>
  <dcterms:modified xsi:type="dcterms:W3CDTF">2025-12-30T15:34:33Z</dcterms:modified>
</cp:coreProperties>
</file>